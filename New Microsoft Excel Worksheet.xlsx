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F:\Users\GENERAL\TEMP\Behrad\ASML\Hex2GRIN\Python\"/>
    </mc:Choice>
  </mc:AlternateContent>
  <xr:revisionPtr revIDLastSave="0" documentId="13_ncr:1_{472576BC-3571-48E1-A6E8-C21797CA67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3" i="1" l="1"/>
  <c r="J17" i="1"/>
  <c r="J18" i="1"/>
  <c r="J19" i="1"/>
  <c r="J20" i="1"/>
  <c r="J21" i="1"/>
  <c r="J22" i="1"/>
  <c r="J23" i="1"/>
  <c r="J24" i="1"/>
  <c r="J25" i="1"/>
  <c r="J26" i="1"/>
  <c r="J27" i="1"/>
  <c r="J28" i="1"/>
  <c r="J14" i="1"/>
  <c r="J15" i="1"/>
  <c r="J16" i="1"/>
  <c r="K5" i="1"/>
  <c r="K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I13" i="1"/>
  <c r="H13" i="1"/>
</calcChain>
</file>

<file path=xl/sharedStrings.xml><?xml version="1.0" encoding="utf-8"?>
<sst xmlns="http://schemas.openxmlformats.org/spreadsheetml/2006/main" count="93" uniqueCount="59">
  <si>
    <t>A11.tif</t>
  </si>
  <si>
    <t>A12.tif</t>
  </si>
  <si>
    <t>A21.tif</t>
  </si>
  <si>
    <t>A22.tif</t>
  </si>
  <si>
    <t>B11.tif</t>
  </si>
  <si>
    <t>B12.tif</t>
  </si>
  <si>
    <t>B21.tif</t>
  </si>
  <si>
    <t>B22.tif</t>
  </si>
  <si>
    <t>C11.tif</t>
  </si>
  <si>
    <t>C12.tif</t>
  </si>
  <si>
    <t>C21.tif</t>
  </si>
  <si>
    <t>C22.tif</t>
  </si>
  <si>
    <t>D11.tif</t>
  </si>
  <si>
    <t>D12.tif</t>
  </si>
  <si>
    <t>D21.tif</t>
  </si>
  <si>
    <t>D22.tif</t>
  </si>
  <si>
    <t>---</t>
  </si>
  <si>
    <t>FITTED</t>
  </si>
  <si>
    <t>PATH</t>
  </si>
  <si>
    <t>CIRCLE</t>
  </si>
  <si>
    <t>RESULTS</t>
  </si>
  <si>
    <t>R11</t>
  </si>
  <si>
    <t>-&gt;</t>
  </si>
  <si>
    <t>Center:</t>
  </si>
  <si>
    <t>um,</t>
  </si>
  <si>
    <t>Path</t>
  </si>
  <si>
    <t>Radius:</t>
  </si>
  <si>
    <t>um</t>
  </si>
  <si>
    <t>R12</t>
  </si>
  <si>
    <t>R21</t>
  </si>
  <si>
    <t>R22</t>
  </si>
  <si>
    <t>Calculated</t>
  </si>
  <si>
    <t>Beta</t>
  </si>
  <si>
    <t>Values:</t>
  </si>
  <si>
    <t>Beta1:</t>
  </si>
  <si>
    <t>Beta2:</t>
  </si>
  <si>
    <t>FINAL</t>
  </si>
  <si>
    <t>DATA</t>
  </si>
  <si>
    <t>TABLE</t>
  </si>
  <si>
    <t>WITH</t>
  </si>
  <si>
    <t>ANGLES</t>
  </si>
  <si>
    <t>File</t>
  </si>
  <si>
    <t>Name</t>
  </si>
  <si>
    <t>X</t>
  </si>
  <si>
    <t>(um)</t>
  </si>
  <si>
    <t>Y</t>
  </si>
  <si>
    <t>Radius</t>
  </si>
  <si>
    <t>Angle</t>
  </si>
  <si>
    <t>(rad)</t>
  </si>
  <si>
    <t>Delta</t>
  </si>
  <si>
    <t>Theta</t>
  </si>
  <si>
    <t>rad</t>
  </si>
  <si>
    <t>ANALYSIS</t>
  </si>
  <si>
    <t>Parameter</t>
  </si>
  <si>
    <t>Set</t>
  </si>
  <si>
    <t>(11-&gt;12)</t>
  </si>
  <si>
    <t>(21-&gt;22)</t>
  </si>
  <si>
    <t>Gamma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</si>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</sst>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(Sheet1!$C$13,Sheet1!$C$17,Sheet1!$C$21,Sheet1!$C$25)</c:f>
              <c:numCache>
                <c:formatCode>General</c:formatCode>
                <c:ptCount val="4"/>
                <c:pt idx="0">
                  <c:v>5474.2</c:v>
                </c:pt>
                <c:pt idx="1">
                  <c:v>5782.33</c:v>
                </c:pt>
                <c:pt idx="2">
                  <c:v>6088.37</c:v>
                </c:pt>
                <c:pt idx="3">
                  <c:v>5783.23</c:v>
                </c:pt>
              </c:numCache>
            </c:numRef>
          </c:xVal>
          <c:yVal>
            <c:numRef>
              <c:f>(Sheet1!$D$13,Sheet1!$D$17,Sheet1!$D$21,Sheet1!$D$25)</c:f>
              <c:numCache>
                <c:formatCode>General</c:formatCode>
                <c:ptCount val="4"/>
                <c:pt idx="0">
                  <c:v>5579.34</c:v>
                </c:pt>
                <c:pt idx="1">
                  <c:v>5883.77</c:v>
                </c:pt>
                <c:pt idx="2">
                  <c:v>5579.51</c:v>
                </c:pt>
                <c:pt idx="3">
                  <c:v>5274.92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09-4E76-A92B-94D609569B7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Sheet1!$D$2</c:f>
              <c:numCache>
                <c:formatCode>General</c:formatCode>
                <c:ptCount val="1"/>
                <c:pt idx="0">
                  <c:v>5781.28</c:v>
                </c:pt>
              </c:numCache>
            </c:numRef>
          </c:xVal>
          <c:yVal>
            <c:numRef>
              <c:f>Sheet1!$E$2</c:f>
              <c:numCache>
                <c:formatCode>General</c:formatCode>
                <c:ptCount val="1"/>
                <c:pt idx="0">
                  <c:v>5579.34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009-4E76-A92B-94D609569B77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(Sheet1!$C$14,Sheet1!$C$18,Sheet1!$C$22,Sheet1!$C$26)</c:f>
              <c:numCache>
                <c:formatCode>General</c:formatCode>
                <c:ptCount val="4"/>
                <c:pt idx="0">
                  <c:v>5558.09</c:v>
                </c:pt>
                <c:pt idx="1">
                  <c:v>5847.05</c:v>
                </c:pt>
                <c:pt idx="2">
                  <c:v>6179.82</c:v>
                </c:pt>
                <c:pt idx="3">
                  <c:v>5878.41</c:v>
                </c:pt>
              </c:numCache>
            </c:numRef>
          </c:xVal>
          <c:yVal>
            <c:numRef>
              <c:f>(Sheet1!$D$14,Sheet1!$D$18,Sheet1!$D$22,Sheet1!$D$26)</c:f>
              <c:numCache>
                <c:formatCode>General</c:formatCode>
                <c:ptCount val="4"/>
                <c:pt idx="0">
                  <c:v>5561.15</c:v>
                </c:pt>
                <c:pt idx="1">
                  <c:v>5855.18</c:v>
                </c:pt>
                <c:pt idx="2">
                  <c:v>5550.31</c:v>
                </c:pt>
                <c:pt idx="3">
                  <c:v>5254.95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009-4E76-A92B-94D609569B77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Sheet1!$D$3</c:f>
              <c:numCache>
                <c:formatCode>General</c:formatCode>
                <c:ptCount val="1"/>
                <c:pt idx="0">
                  <c:v>5869.05</c:v>
                </c:pt>
              </c:numCache>
            </c:numRef>
          </c:xVal>
          <c:yVal>
            <c:numRef>
              <c:f>Sheet1!$E$3</c:f>
              <c:numCache>
                <c:formatCode>General</c:formatCode>
                <c:ptCount val="1"/>
                <c:pt idx="0">
                  <c:v>5555.41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009-4E76-A92B-94D609569B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223056"/>
        <c:axId val="553235536"/>
      </c:scatterChart>
      <c:valAx>
        <c:axId val="553223056"/>
        <c:scaling>
          <c:orientation val="minMax"/>
          <c:min val="5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35536"/>
        <c:crosses val="autoZero"/>
        <c:crossBetween val="midCat"/>
      </c:valAx>
      <c:valAx>
        <c:axId val="553235536"/>
        <c:scaling>
          <c:orientation val="minMax"/>
          <c:max val="6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2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(Sheet1!$C$15,Sheet1!$C$19,Sheet1!$C$23,Sheet1!$C$27)</c:f>
              <c:numCache>
                <c:formatCode>General</c:formatCode>
                <c:ptCount val="4"/>
                <c:pt idx="0">
                  <c:v>6362.59</c:v>
                </c:pt>
                <c:pt idx="1">
                  <c:v>5807.23</c:v>
                </c:pt>
                <c:pt idx="2">
                  <c:v>5204.75</c:v>
                </c:pt>
                <c:pt idx="3">
                  <c:v>5731.8</c:v>
                </c:pt>
              </c:numCache>
            </c:numRef>
          </c:xVal>
          <c:yVal>
            <c:numRef>
              <c:f>(Sheet1!$D$15,Sheet1!$D$19,Sheet1!$D$23,Sheet1!$D$27)</c:f>
              <c:numCache>
                <c:formatCode>General</c:formatCode>
                <c:ptCount val="4"/>
                <c:pt idx="0">
                  <c:v>5648.34</c:v>
                </c:pt>
                <c:pt idx="1">
                  <c:v>5006.7</c:v>
                </c:pt>
                <c:pt idx="2">
                  <c:v>5541.96</c:v>
                </c:pt>
                <c:pt idx="3">
                  <c:v>6160.35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07-42AD-9D73-68E7E715DA8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Sheet1!$D$4</c:f>
              <c:numCache>
                <c:formatCode>General</c:formatCode>
                <c:ptCount val="1"/>
                <c:pt idx="0">
                  <c:v>5784.69</c:v>
                </c:pt>
              </c:numCache>
            </c:numRef>
          </c:xVal>
          <c:yVal>
            <c:numRef>
              <c:f>Sheet1!$E$4</c:f>
              <c:numCache>
                <c:formatCode>General</c:formatCode>
                <c:ptCount val="1"/>
                <c:pt idx="0">
                  <c:v>5584.55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07-42AD-9D73-68E7E715DA89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(Sheet1!$C$16,Sheet1!$C$20,Sheet1!$C$24,Sheet1!$C$28)</c:f>
              <c:numCache>
                <c:formatCode>General</c:formatCode>
                <c:ptCount val="4"/>
                <c:pt idx="0">
                  <c:v>6587.54</c:v>
                </c:pt>
                <c:pt idx="1">
                  <c:v>5927.14</c:v>
                </c:pt>
                <c:pt idx="2">
                  <c:v>5104.99</c:v>
                </c:pt>
                <c:pt idx="3">
                  <c:v>5774.33</c:v>
                </c:pt>
              </c:numCache>
            </c:numRef>
          </c:xVal>
          <c:yVal>
            <c:numRef>
              <c:f>(Sheet1!$D$16,Sheet1!$D$20,Sheet1!$D$24,Sheet1!$D$28)</c:f>
              <c:numCache>
                <c:formatCode>General</c:formatCode>
                <c:ptCount val="4"/>
                <c:pt idx="0">
                  <c:v>5662.31</c:v>
                </c:pt>
                <c:pt idx="1">
                  <c:v>4824.33</c:v>
                </c:pt>
                <c:pt idx="2">
                  <c:v>5511.5</c:v>
                </c:pt>
                <c:pt idx="3">
                  <c:v>6303.62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C07-42AD-9D73-68E7E715DA89}"/>
            </c:ext>
          </c:extLst>
        </c:ser>
        <c:ser>
          <c:idx val="3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Sheet1!$D$5</c:f>
              <c:numCache>
                <c:formatCode>General</c:formatCode>
                <c:ptCount val="1"/>
                <c:pt idx="0">
                  <c:v>5848.61</c:v>
                </c:pt>
              </c:numCache>
            </c:numRef>
          </c:xVal>
          <c:yVal>
            <c:numRef>
              <c:f>Sheet1!$E$5</c:f>
              <c:numCache>
                <c:formatCode>General</c:formatCode>
                <c:ptCount val="1"/>
                <c:pt idx="0">
                  <c:v>5563.79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C07-42AD-9D73-68E7E715D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223056"/>
        <c:axId val="553235536"/>
      </c:scatterChart>
      <c:valAx>
        <c:axId val="553223056"/>
        <c:scaling>
          <c:orientation val="minMax"/>
          <c:min val="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35536"/>
        <c:crosses val="autoZero"/>
        <c:crossBetween val="midCat"/>
      </c:valAx>
      <c:valAx>
        <c:axId val="553235536"/>
        <c:scaling>
          <c:orientation val="minMax"/>
          <c:max val="7000"/>
          <c:min val="4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223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3</xdr:row>
      <xdr:rowOff>114300</xdr:rowOff>
    </xdr:from>
    <xdr:to>
      <xdr:col>18</xdr:col>
      <xdr:colOff>228600</xdr:colOff>
      <xdr:row>34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61B60D-2703-1A0B-F841-B6D18D9AA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95250</xdr:colOff>
      <xdr:row>2</xdr:row>
      <xdr:rowOff>85725</xdr:rowOff>
    </xdr:from>
    <xdr:to>
      <xdr:col>25</xdr:col>
      <xdr:colOff>400050</xdr:colOff>
      <xdr:row>32</xdr:row>
      <xdr:rowOff>180975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9E560F-4C95-4FFE-BAEF-39931E61E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workbookViewId="0">
      <selection activeCell="D2" sqref="D2:E2"/>
    </sheetView>
  </sheetViews>
  <sheetFormatPr defaultRowHeight="15" x14ac:dyDescent="0.25"/>
  <sheetData>
    <row r="1" spans="1:11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16</v>
      </c>
    </row>
    <row r="2" spans="1:11" x14ac:dyDescent="0.25">
      <c r="A2" t="s">
        <v>21</v>
      </c>
      <c r="B2" t="s">
        <v>22</v>
      </c>
      <c r="C2" t="s">
        <v>23</v>
      </c>
      <c r="D2">
        <v>5781.28</v>
      </c>
      <c r="E2">
        <v>5579.34</v>
      </c>
      <c r="F2" t="s">
        <v>24</v>
      </c>
      <c r="G2" t="s">
        <v>25</v>
      </c>
      <c r="H2" t="s">
        <v>26</v>
      </c>
      <c r="I2">
        <v>305.76</v>
      </c>
      <c r="J2" t="s">
        <v>27</v>
      </c>
    </row>
    <row r="3" spans="1:11" x14ac:dyDescent="0.25">
      <c r="A3" t="s">
        <v>28</v>
      </c>
      <c r="B3" t="s">
        <v>22</v>
      </c>
      <c r="C3" t="s">
        <v>23</v>
      </c>
      <c r="D3">
        <v>5869.05</v>
      </c>
      <c r="E3">
        <v>5555.41</v>
      </c>
      <c r="F3" t="s">
        <v>24</v>
      </c>
      <c r="G3" t="s">
        <v>25</v>
      </c>
      <c r="H3" t="s">
        <v>26</v>
      </c>
      <c r="I3">
        <v>305.8</v>
      </c>
      <c r="J3" t="s">
        <v>27</v>
      </c>
      <c r="K3">
        <f>(I3-I2)/15</f>
        <v>2.6666666666680309E-3</v>
      </c>
    </row>
    <row r="4" spans="1:11" x14ac:dyDescent="0.25">
      <c r="A4" t="s">
        <v>29</v>
      </c>
      <c r="B4" t="s">
        <v>22</v>
      </c>
      <c r="C4" t="s">
        <v>23</v>
      </c>
      <c r="D4">
        <v>5784.69</v>
      </c>
      <c r="E4">
        <v>5584.55</v>
      </c>
      <c r="F4" t="s">
        <v>24</v>
      </c>
      <c r="G4" t="s">
        <v>25</v>
      </c>
      <c r="H4" t="s">
        <v>26</v>
      </c>
      <c r="I4">
        <v>579.86</v>
      </c>
      <c r="J4" t="s">
        <v>27</v>
      </c>
    </row>
    <row r="5" spans="1:11" x14ac:dyDescent="0.25">
      <c r="A5" t="s">
        <v>30</v>
      </c>
      <c r="B5" t="s">
        <v>22</v>
      </c>
      <c r="C5" t="s">
        <v>23</v>
      </c>
      <c r="D5">
        <v>5848.61</v>
      </c>
      <c r="E5">
        <v>5563.79</v>
      </c>
      <c r="F5" t="s">
        <v>24</v>
      </c>
      <c r="G5" t="s">
        <v>25</v>
      </c>
      <c r="H5" t="s">
        <v>26</v>
      </c>
      <c r="I5">
        <v>744.52</v>
      </c>
      <c r="J5" t="s">
        <v>27</v>
      </c>
      <c r="K5">
        <f>(I5-I4)/15</f>
        <v>10.977333333333331</v>
      </c>
    </row>
    <row r="7" spans="1:11" x14ac:dyDescent="0.25">
      <c r="A7" t="s">
        <v>31</v>
      </c>
      <c r="B7" t="s">
        <v>32</v>
      </c>
      <c r="C7" t="s">
        <v>33</v>
      </c>
    </row>
    <row r="8" spans="1:11" x14ac:dyDescent="0.25">
      <c r="A8" t="s">
        <v>34</v>
      </c>
      <c r="B8">
        <v>2.3570000000000002E-3</v>
      </c>
    </row>
    <row r="9" spans="1:11" x14ac:dyDescent="0.25">
      <c r="A9" t="s">
        <v>35</v>
      </c>
      <c r="B9">
        <v>10.977691999999999</v>
      </c>
    </row>
    <row r="11" spans="1:11" x14ac:dyDescent="0.25">
      <c r="A11" t="s">
        <v>16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  <c r="G11" t="s">
        <v>16</v>
      </c>
    </row>
    <row r="12" spans="1:11" x14ac:dyDescent="0.25">
      <c r="B12" t="s">
        <v>41</v>
      </c>
      <c r="C12" t="s">
        <v>42</v>
      </c>
      <c r="D12" t="s">
        <v>43</v>
      </c>
      <c r="E12" t="s">
        <v>44</v>
      </c>
      <c r="F12" t="s">
        <v>45</v>
      </c>
      <c r="G12" t="s">
        <v>44</v>
      </c>
      <c r="H12" t="s">
        <v>46</v>
      </c>
      <c r="I12" t="s">
        <v>44</v>
      </c>
      <c r="J12" t="s">
        <v>47</v>
      </c>
      <c r="K12" t="s">
        <v>48</v>
      </c>
    </row>
    <row r="13" spans="1:11" x14ac:dyDescent="0.25">
      <c r="A13">
        <v>0</v>
      </c>
      <c r="B13" t="s">
        <v>0</v>
      </c>
      <c r="C13">
        <v>5474.2</v>
      </c>
      <c r="D13">
        <v>5579.34</v>
      </c>
      <c r="E13">
        <v>3118.43</v>
      </c>
      <c r="F13">
        <v>-3.1415999999999999</v>
      </c>
      <c r="H13">
        <f>(C13-C21)/2</f>
        <v>-307.08500000000004</v>
      </c>
      <c r="I13">
        <f>(D13-D21)/2</f>
        <v>-8.500000000003638E-2</v>
      </c>
      <c r="J13" t="e">
        <f>ATAN(1/0)</f>
        <v>#DIV/0!</v>
      </c>
    </row>
    <row r="14" spans="1:11" x14ac:dyDescent="0.25">
      <c r="A14">
        <v>1</v>
      </c>
      <c r="B14" t="s">
        <v>1</v>
      </c>
      <c r="C14">
        <v>5558.09</v>
      </c>
      <c r="D14">
        <v>5561.15</v>
      </c>
      <c r="E14">
        <v>4164.76</v>
      </c>
      <c r="F14">
        <v>3.1231</v>
      </c>
      <c r="H14">
        <f t="shared" ref="H14:I14" si="0">(C14-C22)/2</f>
        <v>-310.86499999999978</v>
      </c>
      <c r="I14">
        <f t="shared" si="0"/>
        <v>5.419999999999618</v>
      </c>
      <c r="J14">
        <f t="shared" ref="J14:J28" si="1">ATAN(D14/C14)</f>
        <v>0.78567336205515792</v>
      </c>
    </row>
    <row r="15" spans="1:11" x14ac:dyDescent="0.25">
      <c r="A15">
        <v>2</v>
      </c>
      <c r="B15" t="s">
        <v>2</v>
      </c>
      <c r="C15">
        <v>6362.59</v>
      </c>
      <c r="D15">
        <v>5648.34</v>
      </c>
      <c r="E15">
        <v>3366.1</v>
      </c>
      <c r="F15">
        <v>0.1099</v>
      </c>
      <c r="H15">
        <f t="shared" ref="H15:I15" si="2">(C15-C23)/2</f>
        <v>578.92000000000007</v>
      </c>
      <c r="I15">
        <f t="shared" si="2"/>
        <v>53.190000000000055</v>
      </c>
      <c r="J15">
        <f t="shared" si="1"/>
        <v>0.72600144295812274</v>
      </c>
    </row>
    <row r="16" spans="1:11" x14ac:dyDescent="0.25">
      <c r="A16">
        <v>3</v>
      </c>
      <c r="B16" t="s">
        <v>3</v>
      </c>
      <c r="C16">
        <v>6587.54</v>
      </c>
      <c r="D16">
        <v>5662.31</v>
      </c>
      <c r="E16">
        <v>4439.78</v>
      </c>
      <c r="F16">
        <v>0.1326</v>
      </c>
      <c r="H16">
        <f t="shared" ref="H16:I16" si="3">(C16-C24)/2</f>
        <v>741.27500000000009</v>
      </c>
      <c r="I16">
        <f t="shared" si="3"/>
        <v>75.4050000000002</v>
      </c>
      <c r="J16">
        <f t="shared" si="1"/>
        <v>0.71001139615157394</v>
      </c>
    </row>
    <row r="17" spans="1:10" x14ac:dyDescent="0.25">
      <c r="A17">
        <v>4</v>
      </c>
      <c r="B17" t="s">
        <v>4</v>
      </c>
      <c r="C17">
        <v>5782.33</v>
      </c>
      <c r="D17">
        <v>5883.77</v>
      </c>
      <c r="E17">
        <v>3117.74</v>
      </c>
      <c r="F17">
        <v>1.5672999999999999</v>
      </c>
      <c r="H17">
        <f t="shared" ref="H17:I17" si="4">(C17-C25)/2</f>
        <v>-0.4499999999998181</v>
      </c>
      <c r="I17">
        <f t="shared" si="4"/>
        <v>304.42500000000018</v>
      </c>
      <c r="J17">
        <f t="shared" si="1"/>
        <v>0.79409322374849467</v>
      </c>
    </row>
    <row r="18" spans="1:10" x14ac:dyDescent="0.25">
      <c r="A18">
        <v>5</v>
      </c>
      <c r="B18" t="s">
        <v>5</v>
      </c>
      <c r="C18">
        <v>5847.05</v>
      </c>
      <c r="D18">
        <v>5855.18</v>
      </c>
      <c r="E18">
        <v>4163.43</v>
      </c>
      <c r="F18">
        <v>1.6440999999999999</v>
      </c>
      <c r="H18">
        <f t="shared" ref="H18:I18" si="5">(C18-C26)/2</f>
        <v>-15.679999999999836</v>
      </c>
      <c r="I18">
        <f t="shared" si="5"/>
        <v>300.11500000000024</v>
      </c>
      <c r="J18">
        <f t="shared" si="1"/>
        <v>0.78609290266440723</v>
      </c>
    </row>
    <row r="19" spans="1:10" x14ac:dyDescent="0.25">
      <c r="A19">
        <v>6</v>
      </c>
      <c r="B19" t="s">
        <v>6</v>
      </c>
      <c r="C19">
        <v>5807.23</v>
      </c>
      <c r="D19">
        <v>5006.7</v>
      </c>
      <c r="E19">
        <v>3369.37</v>
      </c>
      <c r="F19">
        <v>-1.5318000000000001</v>
      </c>
      <c r="H19">
        <f t="shared" ref="H19:I19" si="6">(C19-C27)/2</f>
        <v>37.714999999999691</v>
      </c>
      <c r="I19">
        <f t="shared" si="6"/>
        <v>-576.82500000000027</v>
      </c>
      <c r="J19">
        <f t="shared" si="1"/>
        <v>0.71150528055457885</v>
      </c>
    </row>
    <row r="20" spans="1:10" x14ac:dyDescent="0.25">
      <c r="A20">
        <v>7</v>
      </c>
      <c r="B20" t="s">
        <v>7</v>
      </c>
      <c r="C20">
        <v>5927.14</v>
      </c>
      <c r="D20">
        <v>4824.33</v>
      </c>
      <c r="E20">
        <v>4411.05</v>
      </c>
      <c r="F20">
        <v>-1.4650000000000001</v>
      </c>
      <c r="H20">
        <f t="shared" ref="H20:I20" si="7">(C20-C28)/2</f>
        <v>76.4050000000002</v>
      </c>
      <c r="I20">
        <f t="shared" si="7"/>
        <v>-739.64499999999998</v>
      </c>
      <c r="J20">
        <f t="shared" si="1"/>
        <v>0.68318268947852501</v>
      </c>
    </row>
    <row r="21" spans="1:10" x14ac:dyDescent="0.25">
      <c r="A21">
        <v>8</v>
      </c>
      <c r="B21" t="s">
        <v>8</v>
      </c>
      <c r="C21">
        <v>6088.37</v>
      </c>
      <c r="D21">
        <v>5579.51</v>
      </c>
      <c r="E21">
        <v>3112.16</v>
      </c>
      <c r="F21">
        <v>5.0000000000000001E-4</v>
      </c>
      <c r="J21">
        <f t="shared" si="1"/>
        <v>0.74181374628004815</v>
      </c>
    </row>
    <row r="22" spans="1:10" x14ac:dyDescent="0.25">
      <c r="A22">
        <v>9</v>
      </c>
      <c r="B22" t="s">
        <v>9</v>
      </c>
      <c r="C22">
        <v>6179.82</v>
      </c>
      <c r="D22">
        <v>5550.31</v>
      </c>
      <c r="E22">
        <v>4160.88</v>
      </c>
      <c r="F22">
        <v>-1.6400000000000001E-2</v>
      </c>
      <c r="J22">
        <f t="shared" si="1"/>
        <v>0.731783522924359</v>
      </c>
    </row>
    <row r="23" spans="1:10" x14ac:dyDescent="0.25">
      <c r="A23">
        <v>10</v>
      </c>
      <c r="B23" t="s">
        <v>10</v>
      </c>
      <c r="C23">
        <v>5204.75</v>
      </c>
      <c r="D23">
        <v>5541.96</v>
      </c>
      <c r="E23">
        <v>3364.82</v>
      </c>
      <c r="F23">
        <v>-3.0682999999999998</v>
      </c>
      <c r="J23">
        <f t="shared" si="1"/>
        <v>0.81676584667523144</v>
      </c>
    </row>
    <row r="24" spans="1:10" x14ac:dyDescent="0.25">
      <c r="A24">
        <v>11</v>
      </c>
      <c r="B24" t="s">
        <v>11</v>
      </c>
      <c r="C24">
        <v>5104.99</v>
      </c>
      <c r="D24">
        <v>5511.5</v>
      </c>
      <c r="E24">
        <v>4388.13</v>
      </c>
      <c r="F24">
        <v>-3.0714000000000001</v>
      </c>
      <c r="J24">
        <f t="shared" si="1"/>
        <v>0.82366989966702375</v>
      </c>
    </row>
    <row r="25" spans="1:10" x14ac:dyDescent="0.25">
      <c r="A25">
        <v>12</v>
      </c>
      <c r="B25" t="s">
        <v>12</v>
      </c>
      <c r="C25">
        <v>5783.23</v>
      </c>
      <c r="D25">
        <v>5274.92</v>
      </c>
      <c r="E25">
        <v>3120.95</v>
      </c>
      <c r="F25">
        <v>-1.5644</v>
      </c>
      <c r="J25">
        <f t="shared" si="1"/>
        <v>0.73946349625960384</v>
      </c>
    </row>
    <row r="26" spans="1:10" x14ac:dyDescent="0.25">
      <c r="A26">
        <v>13</v>
      </c>
      <c r="B26" t="s">
        <v>13</v>
      </c>
      <c r="C26">
        <v>5878.41</v>
      </c>
      <c r="D26">
        <v>5254.95</v>
      </c>
      <c r="E26">
        <v>4163.2299999999996</v>
      </c>
      <c r="F26">
        <v>-1.5397000000000001</v>
      </c>
      <c r="J26">
        <f t="shared" si="1"/>
        <v>0.72945732280500308</v>
      </c>
    </row>
    <row r="27" spans="1:10" x14ac:dyDescent="0.25">
      <c r="A27">
        <v>14</v>
      </c>
      <c r="B27" t="s">
        <v>14</v>
      </c>
      <c r="C27">
        <v>5731.8</v>
      </c>
      <c r="D27">
        <v>6160.35</v>
      </c>
      <c r="E27">
        <v>3357.1</v>
      </c>
      <c r="F27">
        <v>1.6624000000000001</v>
      </c>
      <c r="J27">
        <f t="shared" si="1"/>
        <v>0.82141895328620584</v>
      </c>
    </row>
    <row r="28" spans="1:10" x14ac:dyDescent="0.25">
      <c r="A28">
        <v>15</v>
      </c>
      <c r="B28" t="s">
        <v>15</v>
      </c>
      <c r="C28">
        <v>5774.33</v>
      </c>
      <c r="D28">
        <v>6303.62</v>
      </c>
      <c r="E28">
        <v>4404.96</v>
      </c>
      <c r="F28">
        <v>1.6709000000000001</v>
      </c>
      <c r="J28">
        <f t="shared" si="1"/>
        <v>0.82919297679789528</v>
      </c>
    </row>
    <row r="30" spans="1:10" x14ac:dyDescent="0.25">
      <c r="A30" t="s">
        <v>49</v>
      </c>
      <c r="B30" t="s">
        <v>50</v>
      </c>
      <c r="C30" s="1">
        <v>4.1666666666666664E-2</v>
      </c>
      <c r="D30">
        <v>-1.5873250000000001</v>
      </c>
      <c r="E30" t="s">
        <v>51</v>
      </c>
    </row>
    <row r="31" spans="1:10" x14ac:dyDescent="0.25">
      <c r="A31" t="s">
        <v>49</v>
      </c>
      <c r="B31" t="s">
        <v>50</v>
      </c>
      <c r="C31" s="1">
        <v>8.3333333333333329E-2</v>
      </c>
      <c r="D31">
        <v>-2.3725E-2</v>
      </c>
      <c r="E31" t="s">
        <v>51</v>
      </c>
    </row>
    <row r="33" spans="1:8" x14ac:dyDescent="0.25">
      <c r="A33" t="s">
        <v>16</v>
      </c>
      <c r="B33" t="s">
        <v>36</v>
      </c>
      <c r="C33" t="s">
        <v>52</v>
      </c>
      <c r="D33" t="s">
        <v>20</v>
      </c>
      <c r="E33" t="s">
        <v>16</v>
      </c>
    </row>
    <row r="34" spans="1:8" x14ac:dyDescent="0.25">
      <c r="B34" t="s">
        <v>53</v>
      </c>
      <c r="C34" t="s">
        <v>54</v>
      </c>
      <c r="D34">
        <v>1</v>
      </c>
      <c r="E34" t="s">
        <v>55</v>
      </c>
      <c r="F34" t="s">
        <v>54</v>
      </c>
      <c r="G34">
        <v>2</v>
      </c>
      <c r="H34" t="s">
        <v>56</v>
      </c>
    </row>
    <row r="35" spans="1:8" x14ac:dyDescent="0.25">
      <c r="A35">
        <v>0</v>
      </c>
      <c r="B35" t="s">
        <v>32</v>
      </c>
      <c r="C35">
        <v>2.3570000000000002E-3</v>
      </c>
      <c r="D35">
        <v>10.977691999999999</v>
      </c>
    </row>
    <row r="36" spans="1:8" x14ac:dyDescent="0.25">
      <c r="A36">
        <v>1</v>
      </c>
      <c r="B36" t="s">
        <v>57</v>
      </c>
      <c r="C36">
        <v>-32.356023999999998</v>
      </c>
      <c r="D36">
        <v>-0.91714300000000004</v>
      </c>
    </row>
    <row r="37" spans="1:8" x14ac:dyDescent="0.25">
      <c r="A37">
        <v>2</v>
      </c>
      <c r="B37" t="s">
        <v>58</v>
      </c>
      <c r="C37" t="s">
        <v>49</v>
      </c>
      <c r="D37" t="s">
        <v>44</v>
      </c>
      <c r="E37">
        <v>32.356023999999998</v>
      </c>
      <c r="F37">
        <v>11.015936999999999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Behrad Ghazinouri</dc:creator>
  <cp:lastModifiedBy>bghazinouri</cp:lastModifiedBy>
  <dcterms:created xsi:type="dcterms:W3CDTF">2015-06-05T18:17:20Z</dcterms:created>
  <dcterms:modified xsi:type="dcterms:W3CDTF">2026-02-20T13:28:48Z</dcterms:modified>
</cp:coreProperties>
</file>