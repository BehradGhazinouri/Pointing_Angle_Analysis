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ers\GENERAL\TEMP\Behrad\ASML\Hex2GRIN\Python\"/>
    </mc:Choice>
  </mc:AlternateContent>
  <xr:revisionPtr revIDLastSave="0" documentId="13_ncr:1_{B090C53B-3F07-4174-83E6-63F367814E8C}" xr6:coauthVersionLast="47" xr6:coauthVersionMax="47" xr10:uidLastSave="{00000000-0000-0000-0000-000000000000}"/>
  <bookViews>
    <workbookView xWindow="28680" yWindow="-120" windowWidth="29040" windowHeight="15840" xr2:uid="{F7291486-2F5E-4EA2-9A74-899FAE920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1" l="1"/>
  <c r="W37" i="1"/>
  <c r="X37" i="1"/>
  <c r="V38" i="1"/>
  <c r="W38" i="1"/>
  <c r="X38" i="1"/>
  <c r="V36" i="1"/>
  <c r="W36" i="1"/>
  <c r="X35" i="1"/>
  <c r="W35" i="1"/>
  <c r="V35" i="1"/>
  <c r="H35" i="1"/>
  <c r="H34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H17" i="1"/>
  <c r="I17" i="1"/>
  <c r="G17" i="1"/>
  <c r="X36" i="1" l="1"/>
</calcChain>
</file>

<file path=xl/sharedStrings.xml><?xml version="1.0" encoding="utf-8"?>
<sst xmlns="http://schemas.openxmlformats.org/spreadsheetml/2006/main" count="180" uniqueCount="64">
  <si>
    <t>File:</t>
  </si>
  <si>
    <t>A22.tif</t>
  </si>
  <si>
    <t>|</t>
  </si>
  <si>
    <t>Center:</t>
  </si>
  <si>
    <t>(1126.12,</t>
  </si>
  <si>
    <t>1007.63)</t>
  </si>
  <si>
    <t>px</t>
  </si>
  <si>
    <t>Radius:</t>
  </si>
  <si>
    <t>µm</t>
  </si>
  <si>
    <t>B11.tif</t>
  </si>
  <si>
    <t>(1046.39,</t>
  </si>
  <si>
    <t>1080.13)</t>
  </si>
  <si>
    <t>B12.tif</t>
  </si>
  <si>
    <t>(1061.98,</t>
  </si>
  <si>
    <t>1090.26)</t>
  </si>
  <si>
    <t>B21.tif</t>
  </si>
  <si>
    <t>(1045.05,</t>
  </si>
  <si>
    <t>958.59)</t>
  </si>
  <si>
    <t>C11.tif</t>
  </si>
  <si>
    <t>(1115.68,</t>
  </si>
  <si>
    <t>1019.56)</t>
  </si>
  <si>
    <t>C12.tif</t>
  </si>
  <si>
    <t>(1136.48,</t>
  </si>
  <si>
    <t>1017.31)</t>
  </si>
  <si>
    <t>C21.tif</t>
  </si>
  <si>
    <t>(996.82,</t>
  </si>
  <si>
    <t>1014.41)</t>
  </si>
  <si>
    <t>C22.tif</t>
  </si>
  <si>
    <t>(1009.99,</t>
  </si>
  <si>
    <t>998.89)</t>
  </si>
  <si>
    <t>D11.tif</t>
  </si>
  <si>
    <t>(1059.53,</t>
  </si>
  <si>
    <t>948.76)</t>
  </si>
  <si>
    <t>D12.tif</t>
  </si>
  <si>
    <t>(1078.02,</t>
  </si>
  <si>
    <t>933.55)</t>
  </si>
  <si>
    <t>D21.tif</t>
  </si>
  <si>
    <t>(1050.24,</t>
  </si>
  <si>
    <t>1069.44)</t>
  </si>
  <si>
    <t>D22.tif</t>
  </si>
  <si>
    <t>(1058.42,</t>
  </si>
  <si>
    <t>1055.95)</t>
  </si>
  <si>
    <t>A11.tif</t>
  </si>
  <si>
    <t>A21.tif</t>
  </si>
  <si>
    <t>Sequence</t>
  </si>
  <si>
    <t>Path</t>
  </si>
  <si>
    <t>Center</t>
  </si>
  <si>
    <t>X</t>
  </si>
  <si>
    <t>Y</t>
  </si>
  <si>
    <t>Radius</t>
  </si>
  <si>
    <t>(um)</t>
  </si>
  <si>
    <t>Group</t>
  </si>
  <si>
    <t>0,4,8,12</t>
  </si>
  <si>
    <t>1,5,9,13</t>
  </si>
  <si>
    <t>2,6,10,14</t>
  </si>
  <si>
    <t>3,7,11,15</t>
  </si>
  <si>
    <t>File</t>
  </si>
  <si>
    <t>Name</t>
  </si>
  <si>
    <t>A12.tif</t>
  </si>
  <si>
    <t>B22.tif</t>
  </si>
  <si>
    <t>good, keep everything and add code for this:</t>
  </si>
  <si>
    <t>we will call the 4 path radiuses as R11,R12,R21,R22.</t>
  </si>
  <si>
    <t>now Beta1=(R12-R11)/15 Beta2=(R22-R21)/15</t>
  </si>
  <si>
    <t xml:space="preserve">delta_theta=1/4*(coordinates of A11 - A22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</si>
</sst>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(Sheet1!$V$16,Sheet1!$V$20,Sheet1!$V$24,Sheet1!$V$28)</c:f>
              <c:numCache>
                <c:formatCode>General</c:formatCode>
                <c:ptCount val="4"/>
                <c:pt idx="0">
                  <c:v>5417.43</c:v>
                </c:pt>
                <c:pt idx="1">
                  <c:v>5751.85</c:v>
                </c:pt>
                <c:pt idx="2">
                  <c:v>6142.98</c:v>
                </c:pt>
                <c:pt idx="3">
                  <c:v>5815.68</c:v>
                </c:pt>
              </c:numCache>
            </c:numRef>
          </c:xVal>
          <c:yVal>
            <c:numRef>
              <c:f>(Sheet1!$W$16,Sheet1!$W$20,Sheet1!$W$24,Sheet1!$W$28)</c:f>
              <c:numCache>
                <c:formatCode>General</c:formatCode>
                <c:ptCount val="4"/>
                <c:pt idx="0">
                  <c:v>5525.91</c:v>
                </c:pt>
                <c:pt idx="1">
                  <c:v>5940.54</c:v>
                </c:pt>
                <c:pt idx="2">
                  <c:v>5608.25</c:v>
                </c:pt>
                <c:pt idx="3">
                  <c:v>5227.3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50-43DC-B730-A74327F2369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Sheet1!$D$34</c:f>
              <c:numCache>
                <c:formatCode>General</c:formatCode>
                <c:ptCount val="1"/>
                <c:pt idx="0">
                  <c:v>5778.32</c:v>
                </c:pt>
              </c:numCache>
            </c:numRef>
          </c:xVal>
          <c:yVal>
            <c:numRef>
              <c:f>Sheet1!$E$34</c:f>
              <c:numCache>
                <c:formatCode>General</c:formatCode>
                <c:ptCount val="1"/>
                <c:pt idx="0">
                  <c:v>5583.26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50-43DC-B730-A74327F23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840400"/>
        <c:axId val="1749804400"/>
      </c:scatterChart>
      <c:valAx>
        <c:axId val="174984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04400"/>
        <c:crosses val="autoZero"/>
        <c:crossBetween val="midCat"/>
      </c:valAx>
      <c:valAx>
        <c:axId val="17498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4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(Sheet1!$V$17,Sheet1!$V$21,Sheet1!$V$25,Sheet1!$V$29)</c:f>
              <c:numCache>
                <c:formatCode>General</c:formatCode>
                <c:ptCount val="4"/>
                <c:pt idx="0">
                  <c:v>5499.73</c:v>
                </c:pt>
                <c:pt idx="1">
                  <c:v>5812.75</c:v>
                </c:pt>
                <c:pt idx="2">
                  <c:v>6255.13</c:v>
                </c:pt>
                <c:pt idx="3">
                  <c:v>5936.87</c:v>
                </c:pt>
              </c:numCache>
            </c:numRef>
          </c:xVal>
          <c:yVal>
            <c:numRef>
              <c:f>(Sheet1!$W$17,Sheet1!$W$21,Sheet1!$W$25,Sheet1!$W$29)</c:f>
              <c:numCache>
                <c:formatCode>General</c:formatCode>
                <c:ptCount val="4"/>
                <c:pt idx="0">
                  <c:v>5468.1</c:v>
                </c:pt>
                <c:pt idx="1">
                  <c:v>5923.46</c:v>
                </c:pt>
                <c:pt idx="2">
                  <c:v>5593.99</c:v>
                </c:pt>
                <c:pt idx="3">
                  <c:v>5160.41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44-4F62-BF63-3A59C005BF4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Sheet1!$D$35</c:f>
              <c:numCache>
                <c:formatCode>General</c:formatCode>
                <c:ptCount val="1"/>
                <c:pt idx="0">
                  <c:v>5875.58</c:v>
                </c:pt>
              </c:numCache>
            </c:numRef>
          </c:xVal>
          <c:yVal>
            <c:numRef>
              <c:f>Sheet1!$E$35</c:f>
              <c:numCache>
                <c:formatCode>General</c:formatCode>
                <c:ptCount val="1"/>
                <c:pt idx="0">
                  <c:v>5542.11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44-4F62-BF63-3A59C005B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840400"/>
        <c:axId val="1749804400"/>
      </c:scatterChart>
      <c:valAx>
        <c:axId val="174984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04400"/>
        <c:crosses val="autoZero"/>
        <c:crossBetween val="midCat"/>
      </c:valAx>
      <c:valAx>
        <c:axId val="17498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4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90487</xdr:rowOff>
    </xdr:from>
    <xdr:to>
      <xdr:col>18</xdr:col>
      <xdr:colOff>228600</xdr:colOff>
      <xdr:row>25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9BC2E3-780A-0A05-66C2-D00DCCC17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28</xdr:row>
      <xdr:rowOff>85725</xdr:rowOff>
    </xdr:from>
    <xdr:to>
      <xdr:col>19</xdr:col>
      <xdr:colOff>590550</xdr:colOff>
      <xdr:row>42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F7A505-5494-49A5-A477-9645F8A12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2168-BEA9-4EBC-97D0-1122C4BFE0B5}">
  <dimension ref="A1:AB48"/>
  <sheetViews>
    <sheetView tabSelected="1" workbookViewId="0">
      <selection activeCell="N45" sqref="N45"/>
    </sheetView>
  </sheetViews>
  <sheetFormatPr defaultRowHeight="15" x14ac:dyDescent="0.25"/>
  <sheetData>
    <row r="1" spans="1:2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</v>
      </c>
      <c r="I1" t="s">
        <v>7</v>
      </c>
      <c r="J1">
        <v>4088.8</v>
      </c>
      <c r="K1" t="s">
        <v>8</v>
      </c>
    </row>
    <row r="2" spans="1:28" x14ac:dyDescent="0.25">
      <c r="A2" t="s">
        <v>0</v>
      </c>
      <c r="B2" t="s">
        <v>9</v>
      </c>
      <c r="C2" t="s">
        <v>2</v>
      </c>
      <c r="D2" t="s">
        <v>3</v>
      </c>
      <c r="E2" t="s">
        <v>10</v>
      </c>
      <c r="F2" t="s">
        <v>11</v>
      </c>
      <c r="G2" t="s">
        <v>6</v>
      </c>
      <c r="H2" t="s">
        <v>2</v>
      </c>
      <c r="I2" t="s">
        <v>7</v>
      </c>
      <c r="J2">
        <v>2605.14</v>
      </c>
      <c r="K2" t="s">
        <v>8</v>
      </c>
    </row>
    <row r="3" spans="1:28" x14ac:dyDescent="0.25">
      <c r="A3" t="s">
        <v>0</v>
      </c>
      <c r="B3" t="s">
        <v>12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2</v>
      </c>
      <c r="I3" t="s">
        <v>7</v>
      </c>
      <c r="J3">
        <v>3569.06</v>
      </c>
      <c r="K3" t="s">
        <v>8</v>
      </c>
    </row>
    <row r="4" spans="1:28" x14ac:dyDescent="0.25">
      <c r="A4" t="s">
        <v>0</v>
      </c>
      <c r="B4" t="s">
        <v>15</v>
      </c>
      <c r="C4" t="s">
        <v>2</v>
      </c>
      <c r="D4" t="s">
        <v>3</v>
      </c>
      <c r="E4" t="s">
        <v>16</v>
      </c>
      <c r="F4" t="s">
        <v>17</v>
      </c>
      <c r="G4" t="s">
        <v>6</v>
      </c>
      <c r="H4" t="s">
        <v>2</v>
      </c>
      <c r="I4" t="s">
        <v>7</v>
      </c>
      <c r="J4">
        <v>1851.08</v>
      </c>
      <c r="K4" t="s">
        <v>8</v>
      </c>
    </row>
    <row r="5" spans="1:28" x14ac:dyDescent="0.25">
      <c r="A5" t="s">
        <v>0</v>
      </c>
      <c r="B5" t="s">
        <v>18</v>
      </c>
      <c r="C5" t="s">
        <v>2</v>
      </c>
      <c r="D5" t="s">
        <v>3</v>
      </c>
      <c r="E5" t="s">
        <v>19</v>
      </c>
      <c r="F5" t="s">
        <v>20</v>
      </c>
      <c r="G5" t="s">
        <v>6</v>
      </c>
      <c r="H5" t="s">
        <v>2</v>
      </c>
      <c r="I5" t="s">
        <v>7</v>
      </c>
      <c r="J5">
        <v>2934.14</v>
      </c>
      <c r="K5" t="s">
        <v>8</v>
      </c>
    </row>
    <row r="6" spans="1:28" x14ac:dyDescent="0.25">
      <c r="A6" t="s">
        <v>0</v>
      </c>
      <c r="B6" t="s">
        <v>21</v>
      </c>
      <c r="C6" t="s">
        <v>2</v>
      </c>
      <c r="D6" t="s">
        <v>3</v>
      </c>
      <c r="E6" t="s">
        <v>22</v>
      </c>
      <c r="F6" t="s">
        <v>23</v>
      </c>
      <c r="G6" t="s">
        <v>6</v>
      </c>
      <c r="H6" t="s">
        <v>2</v>
      </c>
      <c r="I6" t="s">
        <v>7</v>
      </c>
      <c r="J6">
        <v>4365.7700000000004</v>
      </c>
      <c r="K6" t="s">
        <v>8</v>
      </c>
    </row>
    <row r="7" spans="1:28" x14ac:dyDescent="0.25">
      <c r="A7" t="s">
        <v>0</v>
      </c>
      <c r="B7" t="s">
        <v>24</v>
      </c>
      <c r="C7" t="s">
        <v>2</v>
      </c>
      <c r="D7" t="s">
        <v>3</v>
      </c>
      <c r="E7" t="s">
        <v>25</v>
      </c>
      <c r="F7" t="s">
        <v>26</v>
      </c>
      <c r="G7" t="s">
        <v>6</v>
      </c>
      <c r="H7" t="s">
        <v>2</v>
      </c>
      <c r="I7" t="s">
        <v>7</v>
      </c>
      <c r="J7">
        <v>2670.81</v>
      </c>
      <c r="K7" t="s">
        <v>8</v>
      </c>
    </row>
    <row r="8" spans="1:28" x14ac:dyDescent="0.25">
      <c r="A8" t="s">
        <v>0</v>
      </c>
      <c r="B8" t="s">
        <v>27</v>
      </c>
      <c r="C8" t="s">
        <v>2</v>
      </c>
      <c r="D8" t="s">
        <v>3</v>
      </c>
      <c r="E8" t="s">
        <v>28</v>
      </c>
      <c r="F8" t="s">
        <v>29</v>
      </c>
      <c r="G8" t="s">
        <v>6</v>
      </c>
      <c r="H8" t="s">
        <v>2</v>
      </c>
      <c r="I8" t="s">
        <v>7</v>
      </c>
      <c r="J8">
        <v>3717.24</v>
      </c>
      <c r="K8" t="s">
        <v>8</v>
      </c>
    </row>
    <row r="9" spans="1:28" x14ac:dyDescent="0.25">
      <c r="A9" t="s">
        <v>0</v>
      </c>
      <c r="B9" t="s">
        <v>30</v>
      </c>
      <c r="C9" t="s">
        <v>2</v>
      </c>
      <c r="D9" t="s">
        <v>3</v>
      </c>
      <c r="E9" t="s">
        <v>31</v>
      </c>
      <c r="F9" t="s">
        <v>32</v>
      </c>
      <c r="G9" t="s">
        <v>6</v>
      </c>
      <c r="H9" t="s">
        <v>2</v>
      </c>
      <c r="I9" t="s">
        <v>7</v>
      </c>
      <c r="J9">
        <v>2610.09</v>
      </c>
      <c r="K9" t="s">
        <v>8</v>
      </c>
    </row>
    <row r="10" spans="1:28" x14ac:dyDescent="0.25">
      <c r="A10" t="s">
        <v>0</v>
      </c>
      <c r="B10" t="s">
        <v>33</v>
      </c>
      <c r="C10" t="s">
        <v>2</v>
      </c>
      <c r="D10" t="s">
        <v>3</v>
      </c>
      <c r="E10" t="s">
        <v>34</v>
      </c>
      <c r="F10" t="s">
        <v>35</v>
      </c>
      <c r="G10" t="s">
        <v>6</v>
      </c>
      <c r="H10" t="s">
        <v>2</v>
      </c>
      <c r="I10" t="s">
        <v>7</v>
      </c>
      <c r="J10">
        <v>3900.11</v>
      </c>
      <c r="K10" t="s">
        <v>8</v>
      </c>
    </row>
    <row r="11" spans="1:28" x14ac:dyDescent="0.25">
      <c r="A11" t="s">
        <v>0</v>
      </c>
      <c r="B11" t="s">
        <v>36</v>
      </c>
      <c r="C11" t="s">
        <v>2</v>
      </c>
      <c r="D11" t="s">
        <v>3</v>
      </c>
      <c r="E11" t="s">
        <v>37</v>
      </c>
      <c r="F11" t="s">
        <v>38</v>
      </c>
      <c r="G11" t="s">
        <v>6</v>
      </c>
      <c r="H11" t="s">
        <v>2</v>
      </c>
      <c r="I11" t="s">
        <v>7</v>
      </c>
      <c r="J11">
        <v>2662.62</v>
      </c>
      <c r="K11" t="s">
        <v>8</v>
      </c>
    </row>
    <row r="12" spans="1:28" x14ac:dyDescent="0.25">
      <c r="A12" t="s">
        <v>0</v>
      </c>
      <c r="B12" t="s">
        <v>39</v>
      </c>
      <c r="C12" t="s">
        <v>2</v>
      </c>
      <c r="D12" t="s">
        <v>3</v>
      </c>
      <c r="E12" t="s">
        <v>40</v>
      </c>
      <c r="F12" t="s">
        <v>41</v>
      </c>
      <c r="G12" t="s">
        <v>6</v>
      </c>
      <c r="H12" t="s">
        <v>2</v>
      </c>
      <c r="I12" t="s">
        <v>7</v>
      </c>
      <c r="J12">
        <v>3721.18</v>
      </c>
      <c r="K12" t="s">
        <v>8</v>
      </c>
    </row>
    <row r="15" spans="1:28" x14ac:dyDescent="0.25">
      <c r="U15" t="s">
        <v>56</v>
      </c>
      <c r="V15" t="s">
        <v>57</v>
      </c>
      <c r="W15" t="s">
        <v>47</v>
      </c>
      <c r="X15" t="s">
        <v>50</v>
      </c>
      <c r="Y15" t="s">
        <v>48</v>
      </c>
      <c r="Z15" t="s">
        <v>50</v>
      </c>
      <c r="AA15" t="s">
        <v>49</v>
      </c>
      <c r="AB15" t="s">
        <v>50</v>
      </c>
    </row>
    <row r="16" spans="1:28" x14ac:dyDescent="0.25">
      <c r="T16">
        <v>0</v>
      </c>
      <c r="U16" t="s">
        <v>42</v>
      </c>
      <c r="V16">
        <v>5417.43</v>
      </c>
      <c r="W16">
        <v>5525.91</v>
      </c>
      <c r="X16">
        <v>2917.55</v>
      </c>
    </row>
    <row r="17" spans="1:24" x14ac:dyDescent="0.25">
      <c r="A17">
        <v>0</v>
      </c>
      <c r="B17" t="s">
        <v>42</v>
      </c>
      <c r="C17">
        <v>985.6</v>
      </c>
      <c r="D17">
        <v>1005.16</v>
      </c>
      <c r="E17">
        <v>520.29</v>
      </c>
      <c r="G17">
        <f>C17*5.5</f>
        <v>5420.8</v>
      </c>
      <c r="H17">
        <f t="shared" ref="H17:I17" si="0">D17*5.5</f>
        <v>5528.38</v>
      </c>
      <c r="I17">
        <f t="shared" si="0"/>
        <v>2861.5949999999998</v>
      </c>
      <c r="T17">
        <v>1</v>
      </c>
      <c r="U17" t="s">
        <v>58</v>
      </c>
      <c r="V17">
        <v>5499.73</v>
      </c>
      <c r="W17">
        <v>5468.1</v>
      </c>
      <c r="X17">
        <v>4491.29</v>
      </c>
    </row>
    <row r="18" spans="1:24" x14ac:dyDescent="0.25">
      <c r="A18">
        <v>1</v>
      </c>
      <c r="B18" t="s">
        <v>43</v>
      </c>
      <c r="C18">
        <v>1102.3</v>
      </c>
      <c r="D18">
        <v>1009.61</v>
      </c>
      <c r="E18">
        <v>321.41000000000003</v>
      </c>
      <c r="G18">
        <f t="shared" ref="G18:G30" si="1">C18*5.5</f>
        <v>6062.65</v>
      </c>
      <c r="H18">
        <f t="shared" ref="H18:H30" si="2">D18*5.5</f>
        <v>5552.8550000000005</v>
      </c>
      <c r="I18">
        <f t="shared" ref="I18:I30" si="3">E18*5.5</f>
        <v>1767.7550000000001</v>
      </c>
      <c r="T18">
        <v>2</v>
      </c>
      <c r="U18" t="s">
        <v>43</v>
      </c>
      <c r="V18">
        <v>6076.82</v>
      </c>
      <c r="W18">
        <v>5608.38</v>
      </c>
      <c r="X18">
        <v>3023.67</v>
      </c>
    </row>
    <row r="19" spans="1:24" x14ac:dyDescent="0.25">
      <c r="A19">
        <v>2</v>
      </c>
      <c r="B19" t="s">
        <v>1</v>
      </c>
      <c r="C19">
        <v>1126.1199999999999</v>
      </c>
      <c r="D19">
        <v>1007.63</v>
      </c>
      <c r="E19">
        <v>743.42</v>
      </c>
      <c r="G19">
        <f t="shared" si="1"/>
        <v>6193.66</v>
      </c>
      <c r="H19">
        <f t="shared" si="2"/>
        <v>5541.9650000000001</v>
      </c>
      <c r="I19">
        <f t="shared" si="3"/>
        <v>4088.81</v>
      </c>
      <c r="T19">
        <v>3</v>
      </c>
      <c r="U19" t="s">
        <v>1</v>
      </c>
      <c r="V19">
        <v>6158.59</v>
      </c>
      <c r="W19">
        <v>5559.91</v>
      </c>
      <c r="X19">
        <v>4511.1499999999996</v>
      </c>
    </row>
    <row r="20" spans="1:24" x14ac:dyDescent="0.25">
      <c r="A20">
        <v>3</v>
      </c>
      <c r="B20" t="s">
        <v>9</v>
      </c>
      <c r="C20">
        <v>1046.3900000000001</v>
      </c>
      <c r="D20">
        <v>1080.1300000000001</v>
      </c>
      <c r="E20">
        <v>473.66</v>
      </c>
      <c r="G20">
        <f t="shared" si="1"/>
        <v>5755.1450000000004</v>
      </c>
      <c r="H20">
        <f t="shared" si="2"/>
        <v>5940.7150000000001</v>
      </c>
      <c r="I20">
        <f t="shared" si="3"/>
        <v>2605.13</v>
      </c>
      <c r="T20">
        <v>4</v>
      </c>
      <c r="U20" t="s">
        <v>9</v>
      </c>
      <c r="V20">
        <v>5751.85</v>
      </c>
      <c r="W20">
        <v>5940.54</v>
      </c>
      <c r="X20">
        <v>2884.9</v>
      </c>
    </row>
    <row r="21" spans="1:24" x14ac:dyDescent="0.25">
      <c r="A21">
        <v>4</v>
      </c>
      <c r="B21" t="s">
        <v>12</v>
      </c>
      <c r="C21">
        <v>1061.98</v>
      </c>
      <c r="D21">
        <v>1090.26</v>
      </c>
      <c r="E21">
        <v>648.91999999999996</v>
      </c>
      <c r="G21">
        <f t="shared" si="1"/>
        <v>5840.89</v>
      </c>
      <c r="H21">
        <f t="shared" si="2"/>
        <v>5996.43</v>
      </c>
      <c r="I21">
        <f t="shared" si="3"/>
        <v>3569.06</v>
      </c>
      <c r="T21">
        <v>5</v>
      </c>
      <c r="U21" t="s">
        <v>12</v>
      </c>
      <c r="V21">
        <v>5812.75</v>
      </c>
      <c r="W21">
        <v>5923.46</v>
      </c>
      <c r="X21">
        <v>4460.1400000000003</v>
      </c>
    </row>
    <row r="22" spans="1:24" x14ac:dyDescent="0.25">
      <c r="A22">
        <v>5</v>
      </c>
      <c r="B22" t="s">
        <v>15</v>
      </c>
      <c r="C22">
        <v>1045.05</v>
      </c>
      <c r="D22">
        <v>958.59</v>
      </c>
      <c r="E22">
        <v>336.56</v>
      </c>
      <c r="G22">
        <f t="shared" si="1"/>
        <v>5747.7749999999996</v>
      </c>
      <c r="H22">
        <f t="shared" si="2"/>
        <v>5272.2449999999999</v>
      </c>
      <c r="I22">
        <f t="shared" si="3"/>
        <v>1851.08</v>
      </c>
      <c r="T22">
        <v>6</v>
      </c>
      <c r="U22" t="s">
        <v>15</v>
      </c>
      <c r="V22">
        <v>5781.6</v>
      </c>
      <c r="W22">
        <v>5301.08</v>
      </c>
      <c r="X22">
        <v>2975.81</v>
      </c>
    </row>
    <row r="23" spans="1:24" x14ac:dyDescent="0.25">
      <c r="A23">
        <v>6</v>
      </c>
      <c r="B23" t="s">
        <v>18</v>
      </c>
      <c r="C23">
        <v>1115.68</v>
      </c>
      <c r="D23">
        <v>1019.56</v>
      </c>
      <c r="E23">
        <v>533.48</v>
      </c>
      <c r="G23">
        <f t="shared" si="1"/>
        <v>6136.2400000000007</v>
      </c>
      <c r="H23">
        <f t="shared" si="2"/>
        <v>5607.58</v>
      </c>
      <c r="I23">
        <f t="shared" si="3"/>
        <v>2934.1400000000003</v>
      </c>
      <c r="T23">
        <v>7</v>
      </c>
      <c r="U23" t="s">
        <v>59</v>
      </c>
      <c r="V23">
        <v>5857.04</v>
      </c>
      <c r="W23">
        <v>5242.3100000000004</v>
      </c>
      <c r="X23">
        <v>4480.32</v>
      </c>
    </row>
    <row r="24" spans="1:24" x14ac:dyDescent="0.25">
      <c r="A24">
        <v>7</v>
      </c>
      <c r="B24" t="s">
        <v>21</v>
      </c>
      <c r="C24">
        <v>1136.48</v>
      </c>
      <c r="D24">
        <v>1017.31</v>
      </c>
      <c r="E24">
        <v>793.78</v>
      </c>
      <c r="G24">
        <f t="shared" si="1"/>
        <v>6250.64</v>
      </c>
      <c r="H24">
        <f t="shared" si="2"/>
        <v>5595.2049999999999</v>
      </c>
      <c r="I24">
        <f t="shared" si="3"/>
        <v>4365.79</v>
      </c>
      <c r="T24">
        <v>8</v>
      </c>
      <c r="U24" t="s">
        <v>18</v>
      </c>
      <c r="V24">
        <v>6142.98</v>
      </c>
      <c r="W24">
        <v>5608.25</v>
      </c>
      <c r="X24">
        <v>2982.48</v>
      </c>
    </row>
    <row r="25" spans="1:24" x14ac:dyDescent="0.25">
      <c r="A25">
        <v>8</v>
      </c>
      <c r="B25" t="s">
        <v>24</v>
      </c>
      <c r="C25">
        <v>996.82</v>
      </c>
      <c r="D25">
        <v>1014.41</v>
      </c>
      <c r="E25">
        <v>485.6</v>
      </c>
      <c r="G25">
        <f t="shared" si="1"/>
        <v>5482.51</v>
      </c>
      <c r="H25">
        <f t="shared" si="2"/>
        <v>5579.2550000000001</v>
      </c>
      <c r="I25">
        <f t="shared" si="3"/>
        <v>2670.8</v>
      </c>
      <c r="T25">
        <v>9</v>
      </c>
      <c r="U25" t="s">
        <v>21</v>
      </c>
      <c r="V25">
        <v>6255.13</v>
      </c>
      <c r="W25">
        <v>5593.99</v>
      </c>
      <c r="X25">
        <v>4519.16</v>
      </c>
    </row>
    <row r="26" spans="1:24" x14ac:dyDescent="0.25">
      <c r="A26">
        <v>9</v>
      </c>
      <c r="B26" t="s">
        <v>27</v>
      </c>
      <c r="C26">
        <v>1009.99</v>
      </c>
      <c r="D26">
        <v>998.89</v>
      </c>
      <c r="E26">
        <v>675.86</v>
      </c>
      <c r="G26">
        <f t="shared" si="1"/>
        <v>5554.9449999999997</v>
      </c>
      <c r="H26">
        <f t="shared" si="2"/>
        <v>5493.8949999999995</v>
      </c>
      <c r="I26">
        <f t="shared" si="3"/>
        <v>3717.23</v>
      </c>
      <c r="T26">
        <v>10</v>
      </c>
      <c r="U26" t="s">
        <v>24</v>
      </c>
      <c r="V26">
        <v>5475.39</v>
      </c>
      <c r="W26">
        <v>5567.47</v>
      </c>
      <c r="X26">
        <v>2739.9</v>
      </c>
    </row>
    <row r="27" spans="1:24" x14ac:dyDescent="0.25">
      <c r="A27">
        <v>10</v>
      </c>
      <c r="B27" t="s">
        <v>30</v>
      </c>
      <c r="C27">
        <v>1059.53</v>
      </c>
      <c r="D27">
        <v>948.76</v>
      </c>
      <c r="E27">
        <v>474.56</v>
      </c>
      <c r="G27">
        <f t="shared" si="1"/>
        <v>5827.415</v>
      </c>
      <c r="H27">
        <f t="shared" si="2"/>
        <v>5218.18</v>
      </c>
      <c r="I27">
        <f t="shared" si="3"/>
        <v>2610.08</v>
      </c>
      <c r="T27">
        <v>11</v>
      </c>
      <c r="U27" t="s">
        <v>27</v>
      </c>
      <c r="V27">
        <v>5556.97</v>
      </c>
      <c r="W27">
        <v>5487.57</v>
      </c>
      <c r="X27">
        <v>3844.74</v>
      </c>
    </row>
    <row r="28" spans="1:24" x14ac:dyDescent="0.25">
      <c r="A28">
        <v>11</v>
      </c>
      <c r="B28" t="s">
        <v>33</v>
      </c>
      <c r="C28">
        <v>1078.02</v>
      </c>
      <c r="D28">
        <v>933.55</v>
      </c>
      <c r="E28">
        <v>709.11</v>
      </c>
      <c r="G28">
        <f t="shared" si="1"/>
        <v>5929.11</v>
      </c>
      <c r="H28">
        <f t="shared" si="2"/>
        <v>5134.5249999999996</v>
      </c>
      <c r="I28">
        <f t="shared" si="3"/>
        <v>3900.105</v>
      </c>
      <c r="T28">
        <v>12</v>
      </c>
      <c r="U28" t="s">
        <v>30</v>
      </c>
      <c r="V28">
        <v>5815.68</v>
      </c>
      <c r="W28">
        <v>5227.3</v>
      </c>
      <c r="X28">
        <v>2902.09</v>
      </c>
    </row>
    <row r="29" spans="1:24" x14ac:dyDescent="0.25">
      <c r="A29">
        <v>12</v>
      </c>
      <c r="B29" t="s">
        <v>36</v>
      </c>
      <c r="C29">
        <v>1050.24</v>
      </c>
      <c r="D29">
        <v>1069.44</v>
      </c>
      <c r="E29">
        <v>484.11</v>
      </c>
      <c r="G29">
        <f t="shared" si="1"/>
        <v>5776.32</v>
      </c>
      <c r="H29">
        <f t="shared" si="2"/>
        <v>5881.92</v>
      </c>
      <c r="I29">
        <f t="shared" si="3"/>
        <v>2662.605</v>
      </c>
      <c r="T29">
        <v>13</v>
      </c>
      <c r="U29" t="s">
        <v>33</v>
      </c>
      <c r="V29">
        <v>5936.87</v>
      </c>
      <c r="W29">
        <v>5160.41</v>
      </c>
      <c r="X29">
        <v>4494.79</v>
      </c>
    </row>
    <row r="30" spans="1:24" x14ac:dyDescent="0.25">
      <c r="A30">
        <v>13</v>
      </c>
      <c r="B30" t="s">
        <v>39</v>
      </c>
      <c r="C30">
        <v>1058.42</v>
      </c>
      <c r="D30">
        <v>1055.95</v>
      </c>
      <c r="E30">
        <v>676.58</v>
      </c>
      <c r="G30">
        <f t="shared" si="1"/>
        <v>5821.31</v>
      </c>
      <c r="H30">
        <f t="shared" si="2"/>
        <v>5807.7250000000004</v>
      </c>
      <c r="I30">
        <f t="shared" si="3"/>
        <v>3721.19</v>
      </c>
      <c r="T30">
        <v>14</v>
      </c>
      <c r="U30" t="s">
        <v>36</v>
      </c>
      <c r="V30">
        <v>5766.14</v>
      </c>
      <c r="W30">
        <v>5871.78</v>
      </c>
      <c r="X30">
        <v>2729.89</v>
      </c>
    </row>
    <row r="31" spans="1:24" x14ac:dyDescent="0.25">
      <c r="T31">
        <v>15</v>
      </c>
      <c r="U31" t="s">
        <v>39</v>
      </c>
      <c r="V31">
        <v>5807.56</v>
      </c>
      <c r="W31">
        <v>5798.61</v>
      </c>
      <c r="X31">
        <v>3873.59</v>
      </c>
    </row>
    <row r="33" spans="1:24" x14ac:dyDescent="0.25">
      <c r="B33" t="s">
        <v>44</v>
      </c>
      <c r="C33" t="s">
        <v>45</v>
      </c>
      <c r="D33" t="s">
        <v>46</v>
      </c>
      <c r="E33" t="s">
        <v>47</v>
      </c>
      <c r="F33" t="s">
        <v>45</v>
      </c>
      <c r="G33" t="s">
        <v>46</v>
      </c>
      <c r="H33" t="s">
        <v>48</v>
      </c>
      <c r="I33" t="s">
        <v>45</v>
      </c>
      <c r="J33" t="s">
        <v>49</v>
      </c>
      <c r="K33" t="s">
        <v>50</v>
      </c>
    </row>
    <row r="34" spans="1:24" x14ac:dyDescent="0.25">
      <c r="A34">
        <v>0</v>
      </c>
      <c r="B34" t="s">
        <v>51</v>
      </c>
      <c r="C34" t="s">
        <v>52</v>
      </c>
      <c r="D34">
        <v>5778.32</v>
      </c>
      <c r="E34">
        <v>5583.26</v>
      </c>
      <c r="F34">
        <v>361.8</v>
      </c>
      <c r="H34">
        <f>(F35-F34)/15</f>
        <v>1.5339999999999994</v>
      </c>
    </row>
    <row r="35" spans="1:24" x14ac:dyDescent="0.25">
      <c r="A35">
        <v>1</v>
      </c>
      <c r="B35" t="s">
        <v>51</v>
      </c>
      <c r="C35" t="s">
        <v>53</v>
      </c>
      <c r="D35">
        <v>5875.58</v>
      </c>
      <c r="E35">
        <v>5542.11</v>
      </c>
      <c r="F35">
        <v>384.81</v>
      </c>
      <c r="H35">
        <f>(F37-F36)/15</f>
        <v>-0.10600000000000212</v>
      </c>
      <c r="V35">
        <f>(W16-E34)/(V16-D34)</f>
        <v>0.15891268807670053</v>
      </c>
      <c r="W35">
        <f>PI()</f>
        <v>3.1415926535897931</v>
      </c>
      <c r="X35">
        <f>W35-V35</f>
        <v>2.9826799655130927</v>
      </c>
    </row>
    <row r="36" spans="1:24" x14ac:dyDescent="0.25">
      <c r="A36">
        <v>2</v>
      </c>
      <c r="B36" t="s">
        <v>51</v>
      </c>
      <c r="C36" t="s">
        <v>54</v>
      </c>
      <c r="D36">
        <v>5776.26</v>
      </c>
      <c r="E36">
        <v>5586.53</v>
      </c>
      <c r="F36">
        <v>293.55</v>
      </c>
      <c r="V36">
        <f>(W17-E35)/(V17-D35)</f>
        <v>0.19691366236530328</v>
      </c>
      <c r="W36">
        <f>PI()</f>
        <v>3.1415926535897931</v>
      </c>
      <c r="X36">
        <f>W36-V36</f>
        <v>2.9446789912244897</v>
      </c>
    </row>
    <row r="37" spans="1:24" x14ac:dyDescent="0.25">
      <c r="A37">
        <v>3</v>
      </c>
      <c r="B37" t="s">
        <v>51</v>
      </c>
      <c r="C37" t="s">
        <v>55</v>
      </c>
      <c r="D37">
        <v>5858.81</v>
      </c>
      <c r="E37">
        <v>5522.83</v>
      </c>
      <c r="F37">
        <v>291.95999999999998</v>
      </c>
      <c r="V37">
        <f t="shared" ref="V37:V38" si="4">(W18-E36)/(V18-D36)</f>
        <v>7.2697631088635889E-2</v>
      </c>
      <c r="W37">
        <f>PI()</f>
        <v>3.1415926535897931</v>
      </c>
      <c r="X37">
        <f t="shared" ref="X37:X38" si="5">W37-V37</f>
        <v>3.0688950225011573</v>
      </c>
    </row>
    <row r="38" spans="1:24" x14ac:dyDescent="0.25">
      <c r="V38">
        <f t="shared" si="4"/>
        <v>0.12369070651811315</v>
      </c>
      <c r="W38">
        <f>PI()</f>
        <v>3.1415926535897931</v>
      </c>
      <c r="X38">
        <f t="shared" si="5"/>
        <v>3.0179019470716799</v>
      </c>
    </row>
    <row r="45" spans="1:24" x14ac:dyDescent="0.25">
      <c r="N45" t="s">
        <v>60</v>
      </c>
    </row>
    <row r="46" spans="1:24" x14ac:dyDescent="0.25">
      <c r="N46" t="s">
        <v>61</v>
      </c>
    </row>
    <row r="47" spans="1:24" x14ac:dyDescent="0.25">
      <c r="N47" t="s">
        <v>62</v>
      </c>
    </row>
    <row r="48" spans="1:24" x14ac:dyDescent="0.25">
      <c r="N48" t="s">
        <v>63</v>
      </c>
    </row>
  </sheetData>
  <sortState xmlns:xlrd2="http://schemas.microsoft.com/office/spreadsheetml/2017/richdata2" ref="A2:K12">
    <sortCondition ref="B1:B12"/>
  </sortState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bghazinouri</dc:creator>
  <cp:lastModifiedBy>bghazinouri</cp:lastModifiedBy>
  <dcterms:created xsi:type="dcterms:W3CDTF">2026-02-18T21:24:56Z</dcterms:created>
  <dcterms:modified xsi:type="dcterms:W3CDTF">2026-02-20T13:28:42Z</dcterms:modified>
</cp:coreProperties>
</file>